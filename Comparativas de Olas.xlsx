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lcaravaggio_mecon\Desktop\polarizacion\"/>
    </mc:Choice>
  </mc:AlternateContent>
  <bookViews>
    <workbookView xWindow="0" yWindow="0" windowWidth="24000" windowHeight="8730"/>
  </bookViews>
  <sheets>
    <sheet name="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46" i="1" l="1"/>
  <c r="K48" i="1"/>
  <c r="K47" i="1"/>
  <c r="K38" i="1"/>
</calcChain>
</file>

<file path=xl/sharedStrings.xml><?xml version="1.0" encoding="utf-8"?>
<sst xmlns="http://schemas.openxmlformats.org/spreadsheetml/2006/main" count="248" uniqueCount="186">
  <si>
    <t>Felicidad</t>
  </si>
  <si>
    <t>Engagement</t>
  </si>
  <si>
    <t>Eficacia del voto</t>
  </si>
  <si>
    <t>Interés política</t>
  </si>
  <si>
    <t>Representación</t>
  </si>
  <si>
    <t>Polarización continua</t>
  </si>
  <si>
    <t>identificación partidaria</t>
  </si>
  <si>
    <t>p1st</t>
  </si>
  <si>
    <t>p26gst</t>
  </si>
  <si>
    <t>p36stgbs</t>
  </si>
  <si>
    <t>p25st</t>
  </si>
  <si>
    <t>p16st</t>
  </si>
  <si>
    <t>p38stgbs</t>
  </si>
  <si>
    <t>Controles</t>
  </si>
  <si>
    <t>Confianza</t>
  </si>
  <si>
    <t>Economía del País</t>
  </si>
  <si>
    <t>Edad2</t>
  </si>
  <si>
    <t>Educación</t>
  </si>
  <si>
    <t>Género</t>
  </si>
  <si>
    <t>p10stgbs</t>
  </si>
  <si>
    <t>s5</t>
  </si>
  <si>
    <t>edad</t>
  </si>
  <si>
    <t>s11</t>
  </si>
  <si>
    <t>sexo</t>
  </si>
  <si>
    <t>¿Cuán interesado está Ud. en la política?</t>
  </si>
  <si>
    <t>p40stgbs</t>
  </si>
  <si>
    <t>p46stgbs</t>
  </si>
  <si>
    <t>¿Usted se siente políticamente representado en el parlamento/congreso?</t>
  </si>
  <si>
    <t>En política se habla normalmente de "izquierda" y "derecha". En una escala dónde “00" es la “izquierda” y “10" la “derecha”, ¿Dónde se ubicaría Ud.?</t>
  </si>
  <si>
    <t>¿Hay algún partido político hacia el cual se sienta usted más cercano que hacia el resto de los partidos?</t>
  </si>
  <si>
    <t>p42stgbs</t>
  </si>
  <si>
    <t>p49stgbs</t>
  </si>
  <si>
    <t>Hablando en general, ¿Diría Ud. que se puede confiar en la mayoría de las personas o que uno nunca es lo suficientemente cuidadoso en el trato con los demás?</t>
  </si>
  <si>
    <t>p9stgbs</t>
  </si>
  <si>
    <t>p6stgbs</t>
  </si>
  <si>
    <t>¿Cómo calificaría en general la situación económica actual del país? Diría Ud. que es...?</t>
  </si>
  <si>
    <t>p5stgbs</t>
  </si>
  <si>
    <t>p4stgbs</t>
  </si>
  <si>
    <t>Economía personal</t>
  </si>
  <si>
    <t>El salario o sueldo que Ud. percibe y el total del ingreso familiar, ¿Le permite cubrir satisfactoriamente sus necesidades? ¿En cuál de estas situaciones se encuentra Ud.?</t>
  </si>
  <si>
    <t>s4</t>
  </si>
  <si>
    <t>¿Qué estudios ha realizado? ¿Cuál es el último año cursado?</t>
  </si>
  <si>
    <t>s16</t>
  </si>
  <si>
    <t>p18st.a</t>
  </si>
  <si>
    <t>p20st.a</t>
  </si>
  <si>
    <t>redes</t>
  </si>
  <si>
    <t>s14m</t>
  </si>
  <si>
    <t xml:space="preserve">¿Usa Ud. alguno de los siguientes servicios de redes sociales si es que Ud. usa alguno? </t>
  </si>
  <si>
    <t>s19m</t>
  </si>
  <si>
    <t>En términos generales, ¿diría Ud. que está satisfecho con su vida? ¿Diría Ud. que está....?</t>
  </si>
  <si>
    <t>p18st</t>
  </si>
  <si>
    <t>Algunas personas dicen que la manera como uno vota puede hacer que las cosas sean diferentes en el futuro. Otros dicen que independientemente de cómo vote, no hará que las cosas sean mejor en el futuro. ¿Cuál frase está más cerca de su manera de pensar?</t>
  </si>
  <si>
    <t>democratico</t>
  </si>
  <si>
    <t>Edad</t>
  </si>
  <si>
    <t>P39STGBS.A</t>
  </si>
  <si>
    <t>Si este domingo hubiera elecciones, ¿Por cuál partido político votaría Ud.?</t>
  </si>
  <si>
    <t>Institutional Political Participation</t>
  </si>
  <si>
    <t>1: Voto Efectivo; 0: Caso contario</t>
  </si>
  <si>
    <t>Nombre</t>
  </si>
  <si>
    <t>Pregunta</t>
  </si>
  <si>
    <t>Aclaración</t>
  </si>
  <si>
    <t>Non Institutional Political Participation</t>
  </si>
  <si>
    <t>P44ST</t>
  </si>
  <si>
    <t>¿Dónde suele Ud expresar sus opiniones sobre los problemas del país o Ud no suele hacerlo?</t>
  </si>
  <si>
    <t>1: Manifestación/Protesta</t>
  </si>
  <si>
    <t>Non Institutional Political Participation Redes</t>
  </si>
  <si>
    <t>1: Redes Sociales</t>
  </si>
  <si>
    <t>othering_partidos</t>
  </si>
  <si>
    <t>othering_congreso</t>
  </si>
  <si>
    <t>othering_gobierno</t>
  </si>
  <si>
    <t>P14ST.G</t>
  </si>
  <si>
    <t>P14ST.D</t>
  </si>
  <si>
    <t>P14ST.E</t>
  </si>
  <si>
    <t>Por favor, mire esta tarjeta y dígame, para cada uno de los grupos, instituciones o personas de la lista ¿cuánta confianza tiene usted en ellas: mucha (1), algo (2), poca (3) o ninguna confianza(4) en…?</t>
  </si>
  <si>
    <t>Othering</t>
  </si>
  <si>
    <t>Aversion</t>
  </si>
  <si>
    <t>P12STGBS.A</t>
  </si>
  <si>
    <t>En general, ¿Diría Ud. que está muy satisfecho, más bien satisfecho, no muy satisfecho o nada satisfecho con el funcionamiento de la democracia en (PAÍS)?</t>
  </si>
  <si>
    <t>aversion_democracia</t>
  </si>
  <si>
    <t>P15STGBS</t>
  </si>
  <si>
    <t>aversion_gobierno</t>
  </si>
  <si>
    <t>aversion_pais</t>
  </si>
  <si>
    <t>P19ST</t>
  </si>
  <si>
    <t>Con una escala de 1 a 10, le pedimos evaluar cuán democrático es (PAÍS). El “1" quiere decir que (PAÍS) no es democrático y el “10" quiere decir que (PAÍS) es totalmente democrático. ¿Dónde pondría Ud. a (PAÍS)...?</t>
  </si>
  <si>
    <t>Moralization</t>
  </si>
  <si>
    <t>moral_autoritarismo</t>
  </si>
  <si>
    <t>moral_nodemocratico</t>
  </si>
  <si>
    <t>moral_presidente</t>
  </si>
  <si>
    <t>P11STGBS</t>
  </si>
  <si>
    <t>P18ST.B</t>
  </si>
  <si>
    <t>P18ST.C</t>
  </si>
  <si>
    <t>Por favor, dígame si está muy de acuerdo (1), de acuerdo (2), en desacuerdo (3) o muy en desacuerdo (4), con las siguientes afirmaciones: No me importaría que un gobierno no democrático llegara al poder si resuelve los problemas</t>
  </si>
  <si>
    <t>Por favor, dígame si está muy de acuerdo (1), de acuerdo (2), en desacuerdo (3) o muy en desacuerdo (4), con las siguientes afirmaciones: Esta bien que el Presidente
pase por encima de las leyes, el parlamento y/o las instituciones con el objeto de resolver los problemas</t>
  </si>
  <si>
    <t>¿Con cuál de las siguientes frases está Ud. más de acuerdo? (LEA ALTERNATIVAS Y MARQUE UNA) La democracia es preferible a cualquier otra forma de gobierno: 1
En algunas circunstancias, un gobierno autoritario puede ser preferible a uno democrático: 2 A la gente como uno, nos da lo mismo un régimen democrático que uno no democrático: 3</t>
  </si>
  <si>
    <t>news_index</t>
  </si>
  <si>
    <t>Índice construido por ciudad con noticias sobre violencia política</t>
  </si>
  <si>
    <t>Nombre normalizado</t>
  </si>
  <si>
    <t>interes_politica_z</t>
  </si>
  <si>
    <t>polarizacion_ideologica_z</t>
  </si>
  <si>
    <t>othering_partidos_z</t>
  </si>
  <si>
    <t>othering_congreso_z</t>
  </si>
  <si>
    <t>othering_gobierno_z</t>
  </si>
  <si>
    <t>aversion_democracia_z</t>
  </si>
  <si>
    <t>5 - df["sat_democracia"]. Más alto = más averso a la democracia</t>
  </si>
  <si>
    <t>Gobierno. Más alto = más confianza</t>
  </si>
  <si>
    <t>Congreso / Parlamento. Más alto = más confianza</t>
  </si>
  <si>
    <t>Partidos Políticos. Más alto = más confianza</t>
  </si>
  <si>
    <t>11 - df["eval_pais"]. Más alto = menos democrático considera al país</t>
  </si>
  <si>
    <t>aversion_pais_z</t>
  </si>
  <si>
    <t>Más alto = más de acuerdo con un gobierno no democrático</t>
  </si>
  <si>
    <t>Más alto = más de acuerdo con que el presidente pase por encima de las leyes</t>
  </si>
  <si>
    <t>moral_nodemocratico_z</t>
  </si>
  <si>
    <t>moral_presidente_z</t>
  </si>
  <si>
    <t>moral_autoritarismo_z</t>
  </si>
  <si>
    <t>Más alto = menos democrático</t>
  </si>
  <si>
    <t>econ_pais_z</t>
  </si>
  <si>
    <t>econ_z</t>
  </si>
  <si>
    <t>edad2_z</t>
  </si>
  <si>
    <t>edad_z</t>
  </si>
  <si>
    <t>educacion_z</t>
  </si>
  <si>
    <t>La democracia puede tener problemas pero es el mejor sistema de gobierno. muy de acuerdo (1), de acuerdo (2), en desacuerdo (3) o muy en desacuerdo (4)</t>
  </si>
  <si>
    <t>Más alto = más valor por la democracia</t>
  </si>
  <si>
    <t>democratico_z</t>
  </si>
  <si>
    <t>Support for Violence</t>
  </si>
  <si>
    <t>news_index_1, news_index_2,  news_index_3</t>
  </si>
  <si>
    <t>X</t>
  </si>
  <si>
    <t>Toma valor 1 si usa Twitter</t>
  </si>
  <si>
    <t>Toma valor 1 si usa alguna red social</t>
  </si>
  <si>
    <t>Affective Polarization</t>
  </si>
  <si>
    <t>Idiological Polarization</t>
  </si>
  <si>
    <t>¿Ud. aprueba o no aprueba la gestión del gobierno que encabeza el presidente (nombre)?</t>
  </si>
  <si>
    <t>0: Aprueba; 1: Desaprueba</t>
  </si>
  <si>
    <t>p33st.d</t>
  </si>
  <si>
    <t>La economía de mercado es el único sistema con el que el (PAÍS) puede llegar a ser desarrollado .</t>
  </si>
  <si>
    <t>polarización economía</t>
  </si>
  <si>
    <t>Muy de acuerdo o muy en desacuerdo = 1</t>
  </si>
  <si>
    <t>Recorrido</t>
  </si>
  <si>
    <t>[1,2,3,4]</t>
  </si>
  <si>
    <t>dummy [0,1]</t>
  </si>
  <si>
    <t>abs(df["ideologia_lr"] - 5)
Más alto = más polarizado</t>
  </si>
  <si>
    <t>[1,2,3,4,5,6,7,8,9,10]</t>
  </si>
  <si>
    <t>[1,2,3]</t>
  </si>
  <si>
    <t>Cantidad de noticias sobre violencia política en la ciudad</t>
  </si>
  <si>
    <t>mujer = 1; hombre = 0</t>
  </si>
  <si>
    <t>Si = 1; No = 0</t>
  </si>
  <si>
    <t>Más alto = Mejor situación económica del país</t>
  </si>
  <si>
    <t>[1,2,3,4,5]</t>
  </si>
  <si>
    <t>Más alto = Mejor situación económica personal</t>
  </si>
  <si>
    <t>Edad en años</t>
  </si>
  <si>
    <t>Edad en años al cuadrado</t>
  </si>
  <si>
    <t>Años de estudio</t>
  </si>
  <si>
    <t>X (Twitter)</t>
  </si>
  <si>
    <t>eficacia_voto</t>
  </si>
  <si>
    <t>representacion</t>
  </si>
  <si>
    <t>institutional_political_participation</t>
  </si>
  <si>
    <t>non_institutional_political_participation</t>
  </si>
  <si>
    <t>non_institutional_political_participation_redes</t>
  </si>
  <si>
    <t>identificacion_partidaria</t>
  </si>
  <si>
    <t>polarizacion_economia</t>
  </si>
  <si>
    <t>confianza</t>
  </si>
  <si>
    <t>genero</t>
  </si>
  <si>
    <t>Non Institutional Political Participation Protestas</t>
  </si>
  <si>
    <t>non_institutional_political_participation_protestas</t>
  </si>
  <si>
    <t>[0,1,2]</t>
  </si>
  <si>
    <t>Expresa opiniones en protestas o en redes, en ambas o en ninguna</t>
  </si>
  <si>
    <t>moral_lider</t>
  </si>
  <si>
    <t>P37ST. (MOSTRAR TARJETA 16) Pensando en la mejor forma de gobernar, ¿cuál de estos aspectos considera usted el más importante?</t>
  </si>
  <si>
    <t>Toma valor 1 si "Concentrar el poder político en un líder"</t>
  </si>
  <si>
    <t>P37ST.A</t>
  </si>
  <si>
    <t>P62ST.D</t>
  </si>
  <si>
    <t>P54ST.B</t>
  </si>
  <si>
    <t>P43STGBS.A</t>
  </si>
  <si>
    <t>P50STGBS.A</t>
  </si>
  <si>
    <t>P13ST.G</t>
  </si>
  <si>
    <t>P13ST.D</t>
  </si>
  <si>
    <t>P13ST.E</t>
  </si>
  <si>
    <t>P11STGBS.A</t>
  </si>
  <si>
    <t>P17STGBS</t>
  </si>
  <si>
    <t>-</t>
  </si>
  <si>
    <t>P10STGBS</t>
  </si>
  <si>
    <t>P22STM.B</t>
  </si>
  <si>
    <t>P18STM.B</t>
  </si>
  <si>
    <t>P35NA</t>
  </si>
  <si>
    <t>P60N.C</t>
  </si>
  <si>
    <t>P50ST</t>
  </si>
  <si>
    <t>news_index_3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</si>
</sst>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17">
    <xf numFmtId="0" fontId="0" fillId="0" borderId="0" xfId="0"/>
    <xf numFmtId="0" fontId="0" fillId="0" borderId="0" xfId="0" applyAlignment="1">
      <alignment horizontal="left" vertical="center"/>
    </xf>
    <xf numFmtId="0" fontId="0" fillId="0" borderId="0" xfId="0"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0" xfId="0" applyBorder="1" applyAlignment="1">
      <alignment horizontal="left" vertical="center"/>
    </xf>
    <xf numFmtId="0" fontId="0" fillId="0" borderId="0" xfId="0" applyBorder="1" applyAlignment="1">
      <alignment horizontal="left" vertical="center" wrapText="1"/>
    </xf>
    <xf numFmtId="0" fontId="0" fillId="0" borderId="0" xfId="0"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Fill="1" applyBorder="1" applyAlignment="1">
      <alignment horizontal="center" vertical="center" wrapText="1"/>
    </xf>
    <xf numFmtId="0" fontId="0" fillId="0" borderId="1" xfId="0"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 xfId="0" applyFont="1" applyFill="1" applyBorder="1" applyAlignment="1">
      <alignment horizontal="center" vertical="center" wrapText="1"/>
    </xf>
    <xf numFmtId="0" fontId="1"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pageSetUpPr fitToPage="1"/>
  </sheetPr>
  <dimension ref="A1:K49"/>
  <sheetViews>
    <sheetView tabSelected="1" topLeftCell="A10" zoomScale="80" zoomScaleNormal="80" workbookViewId="0">
      <selection activeCell="D36" sqref="D36"/>
    </sheetView>
  </sheetViews>
  <sheetFormatPr baseColWidth="10" defaultRowHeight="15" x14ac:dyDescent="0.25"/>
  <cols>
    <col min="1" max="1" width="13.7109375" style="2" customWidth="1"/>
    <col min="2" max="2" width="14.42578125" style="2" customWidth="1"/>
    <col min="3" max="3" width="24" style="2" customWidth="1"/>
    <col min="4" max="6" width="11.7109375" style="9" customWidth="1"/>
    <col min="7" max="7" width="4" style="1" customWidth="1"/>
    <col min="8" max="8" width="62" style="2" customWidth="1"/>
    <col min="9" max="9" width="22.85546875" style="2" customWidth="1"/>
    <col min="10" max="10" width="26.85546875" style="2" customWidth="1"/>
    <col min="11" max="11" width="11.42578125" style="9"/>
  </cols>
  <sheetData>
    <row r="1" spans="1:11" ht="30" customHeight="1" x14ac:dyDescent="0.25">
      <c r="A1" s="16" t="s">
        <v>58</v>
      </c>
      <c r="B1" s="16"/>
      <c r="C1" s="16"/>
      <c r="D1" s="13">
        <v>2020</v>
      </c>
      <c r="E1" s="13">
        <v>2023</v>
      </c>
      <c r="F1" s="13">
        <v>2024</v>
      </c>
      <c r="G1" s="13"/>
      <c r="H1" s="14" t="s">
        <v>59</v>
      </c>
      <c r="I1" s="14" t="s">
        <v>60</v>
      </c>
      <c r="J1" s="14" t="s">
        <v>96</v>
      </c>
      <c r="K1" s="15" t="s">
        <v>136</v>
      </c>
    </row>
    <row r="2" spans="1:11" ht="30" x14ac:dyDescent="0.25">
      <c r="A2" s="4" t="s">
        <v>0</v>
      </c>
      <c r="B2" s="4"/>
      <c r="C2" s="4"/>
      <c r="D2" s="8" t="s">
        <v>7</v>
      </c>
      <c r="E2" s="8" t="s">
        <v>7</v>
      </c>
      <c r="F2" s="8" t="s">
        <v>7</v>
      </c>
      <c r="G2" s="3"/>
      <c r="H2" s="4" t="s">
        <v>49</v>
      </c>
      <c r="I2" s="4"/>
      <c r="J2" s="4"/>
      <c r="K2" s="8" t="s">
        <v>137</v>
      </c>
    </row>
    <row r="4" spans="1:11" ht="18" customHeight="1" x14ac:dyDescent="0.25">
      <c r="A4" s="2" t="s">
        <v>1</v>
      </c>
    </row>
    <row r="5" spans="1:11" ht="75" x14ac:dyDescent="0.25">
      <c r="C5" s="2" t="s">
        <v>2</v>
      </c>
      <c r="D5" s="9" t="s">
        <v>178</v>
      </c>
      <c r="E5" s="9" t="s">
        <v>178</v>
      </c>
      <c r="F5" s="9" t="s">
        <v>8</v>
      </c>
      <c r="H5" s="2" t="s">
        <v>51</v>
      </c>
      <c r="J5" s="2" t="s">
        <v>152</v>
      </c>
      <c r="K5" s="10" t="s">
        <v>138</v>
      </c>
    </row>
    <row r="6" spans="1:11" ht="21" customHeight="1" x14ac:dyDescent="0.25">
      <c r="C6" s="2" t="s">
        <v>3</v>
      </c>
      <c r="D6" s="9" t="s">
        <v>26</v>
      </c>
      <c r="E6" s="9" t="s">
        <v>25</v>
      </c>
      <c r="F6" s="9" t="s">
        <v>9</v>
      </c>
      <c r="H6" s="2" t="s">
        <v>24</v>
      </c>
      <c r="J6" s="2" t="s">
        <v>97</v>
      </c>
      <c r="K6" s="9" t="s">
        <v>137</v>
      </c>
    </row>
    <row r="7" spans="1:11" ht="30" x14ac:dyDescent="0.25">
      <c r="A7" s="6"/>
      <c r="B7" s="6"/>
      <c r="C7" s="6" t="s">
        <v>4</v>
      </c>
      <c r="D7" s="7"/>
      <c r="E7" s="7"/>
      <c r="F7" s="7" t="s">
        <v>10</v>
      </c>
      <c r="G7" s="5"/>
      <c r="H7" s="6" t="s">
        <v>27</v>
      </c>
      <c r="I7" s="6"/>
      <c r="J7" s="6" t="s">
        <v>153</v>
      </c>
      <c r="K7" s="10" t="s">
        <v>138</v>
      </c>
    </row>
    <row r="8" spans="1:11" ht="45" x14ac:dyDescent="0.25">
      <c r="A8" s="6"/>
      <c r="B8" s="6"/>
      <c r="C8" s="6" t="s">
        <v>52</v>
      </c>
      <c r="D8" s="7" t="s">
        <v>44</v>
      </c>
      <c r="E8" s="7" t="s">
        <v>43</v>
      </c>
      <c r="F8" s="7" t="s">
        <v>43</v>
      </c>
      <c r="G8" s="5"/>
      <c r="H8" s="6" t="s">
        <v>120</v>
      </c>
      <c r="I8" s="6" t="s">
        <v>121</v>
      </c>
      <c r="J8" s="6" t="s">
        <v>122</v>
      </c>
      <c r="K8" s="9" t="s">
        <v>137</v>
      </c>
    </row>
    <row r="9" spans="1:11" ht="30" x14ac:dyDescent="0.25">
      <c r="A9" s="6"/>
      <c r="B9" s="6"/>
      <c r="C9" s="6" t="s">
        <v>56</v>
      </c>
      <c r="D9" s="7" t="s">
        <v>172</v>
      </c>
      <c r="E9" s="7" t="s">
        <v>171</v>
      </c>
      <c r="F9" s="7" t="s">
        <v>54</v>
      </c>
      <c r="G9" s="5"/>
      <c r="H9" s="6" t="s">
        <v>55</v>
      </c>
      <c r="I9" s="6" t="s">
        <v>57</v>
      </c>
      <c r="J9" s="6" t="s">
        <v>154</v>
      </c>
      <c r="K9" s="10" t="s">
        <v>138</v>
      </c>
    </row>
    <row r="10" spans="1:11" ht="19.5" customHeight="1" x14ac:dyDescent="0.25">
      <c r="A10" s="4"/>
      <c r="B10" s="4"/>
      <c r="C10" s="4"/>
      <c r="D10" s="8"/>
      <c r="E10" s="8"/>
      <c r="F10" s="8"/>
      <c r="G10" s="3"/>
      <c r="H10" s="4"/>
      <c r="I10" s="4"/>
      <c r="J10" s="4"/>
      <c r="K10" s="8"/>
    </row>
    <row r="12" spans="1:11" ht="30" x14ac:dyDescent="0.25">
      <c r="A12" s="2" t="s">
        <v>129</v>
      </c>
    </row>
    <row r="13" spans="1:11" ht="59.25" customHeight="1" x14ac:dyDescent="0.25">
      <c r="C13" s="2" t="s">
        <v>5</v>
      </c>
      <c r="D13" s="9" t="s">
        <v>50</v>
      </c>
      <c r="E13" s="9" t="s">
        <v>11</v>
      </c>
      <c r="F13" s="9" t="s">
        <v>11</v>
      </c>
      <c r="H13" s="2" t="s">
        <v>28</v>
      </c>
      <c r="I13" s="2" t="s">
        <v>139</v>
      </c>
      <c r="J13" s="2" t="s">
        <v>98</v>
      </c>
      <c r="K13" s="9" t="s">
        <v>146</v>
      </c>
    </row>
    <row r="14" spans="1:11" ht="40.5" customHeight="1" x14ac:dyDescent="0.25">
      <c r="C14" s="6" t="s">
        <v>6</v>
      </c>
      <c r="D14" s="7" t="s">
        <v>31</v>
      </c>
      <c r="E14" s="7" t="s">
        <v>30</v>
      </c>
      <c r="F14" s="7" t="s">
        <v>12</v>
      </c>
      <c r="G14" s="5"/>
      <c r="H14" s="6" t="s">
        <v>29</v>
      </c>
      <c r="I14" s="2" t="s">
        <v>144</v>
      </c>
      <c r="J14" s="2" t="s">
        <v>157</v>
      </c>
      <c r="K14" s="10" t="s">
        <v>138</v>
      </c>
    </row>
    <row r="15" spans="1:11" ht="40.5" customHeight="1" x14ac:dyDescent="0.25">
      <c r="C15" s="6" t="s">
        <v>134</v>
      </c>
      <c r="D15" s="7" t="s">
        <v>169</v>
      </c>
      <c r="E15" s="7" t="s">
        <v>170</v>
      </c>
      <c r="F15" s="7" t="s">
        <v>132</v>
      </c>
      <c r="G15" s="5"/>
      <c r="H15" s="6" t="s">
        <v>133</v>
      </c>
      <c r="I15" s="2" t="s">
        <v>135</v>
      </c>
      <c r="J15" s="2" t="s">
        <v>158</v>
      </c>
      <c r="K15" s="10" t="s">
        <v>138</v>
      </c>
    </row>
    <row r="16" spans="1:11" x14ac:dyDescent="0.25">
      <c r="C16" s="6"/>
      <c r="D16" s="7"/>
      <c r="E16" s="7"/>
      <c r="F16" s="7"/>
      <c r="G16" s="5"/>
      <c r="H16" s="6"/>
    </row>
    <row r="17" spans="1:11" ht="30" x14ac:dyDescent="0.25">
      <c r="A17" s="2" t="s">
        <v>128</v>
      </c>
      <c r="C17" s="6"/>
      <c r="D17" s="7"/>
      <c r="E17" s="7"/>
      <c r="F17" s="7"/>
      <c r="G17" s="5"/>
      <c r="H17" s="6"/>
    </row>
    <row r="18" spans="1:11" x14ac:dyDescent="0.25">
      <c r="B18" s="2" t="s">
        <v>74</v>
      </c>
      <c r="C18" s="6"/>
      <c r="D18" s="7"/>
      <c r="E18" s="7"/>
      <c r="F18" s="7"/>
      <c r="G18" s="5"/>
      <c r="H18" s="6"/>
    </row>
    <row r="19" spans="1:11" ht="64.5" customHeight="1" x14ac:dyDescent="0.25">
      <c r="C19" s="6" t="s">
        <v>67</v>
      </c>
      <c r="D19" s="7" t="s">
        <v>173</v>
      </c>
      <c r="E19" s="7" t="s">
        <v>173</v>
      </c>
      <c r="F19" s="7" t="s">
        <v>70</v>
      </c>
      <c r="G19" s="5"/>
      <c r="H19" s="6" t="s">
        <v>73</v>
      </c>
      <c r="I19" s="2" t="s">
        <v>106</v>
      </c>
      <c r="J19" s="6" t="s">
        <v>99</v>
      </c>
      <c r="K19" s="9" t="s">
        <v>137</v>
      </c>
    </row>
    <row r="20" spans="1:11" ht="62.25" customHeight="1" x14ac:dyDescent="0.25">
      <c r="C20" s="6" t="s">
        <v>68</v>
      </c>
      <c r="D20" s="7" t="s">
        <v>174</v>
      </c>
      <c r="E20" s="7" t="s">
        <v>174</v>
      </c>
      <c r="F20" s="7" t="s">
        <v>71</v>
      </c>
      <c r="G20" s="5"/>
      <c r="H20" s="6" t="s">
        <v>73</v>
      </c>
      <c r="I20" s="2" t="s">
        <v>105</v>
      </c>
      <c r="J20" s="6" t="s">
        <v>100</v>
      </c>
      <c r="K20" s="9" t="s">
        <v>137</v>
      </c>
    </row>
    <row r="21" spans="1:11" ht="62.25" customHeight="1" x14ac:dyDescent="0.25">
      <c r="C21" s="6" t="s">
        <v>69</v>
      </c>
      <c r="D21" s="7" t="s">
        <v>175</v>
      </c>
      <c r="E21" s="7" t="s">
        <v>175</v>
      </c>
      <c r="F21" s="7" t="s">
        <v>72</v>
      </c>
      <c r="G21" s="5"/>
      <c r="H21" s="6" t="s">
        <v>73</v>
      </c>
      <c r="I21" s="2" t="s">
        <v>104</v>
      </c>
      <c r="J21" s="6" t="s">
        <v>101</v>
      </c>
      <c r="K21" s="9" t="s">
        <v>137</v>
      </c>
    </row>
    <row r="22" spans="1:11" x14ac:dyDescent="0.25">
      <c r="C22" s="6"/>
      <c r="D22" s="7"/>
      <c r="E22" s="7"/>
      <c r="F22" s="7"/>
      <c r="G22" s="5"/>
      <c r="H22" s="6"/>
    </row>
    <row r="23" spans="1:11" x14ac:dyDescent="0.25">
      <c r="B23" s="2" t="s">
        <v>75</v>
      </c>
    </row>
    <row r="24" spans="1:11" ht="60" x14ac:dyDescent="0.25">
      <c r="C24" s="6" t="s">
        <v>78</v>
      </c>
      <c r="D24" s="7" t="s">
        <v>176</v>
      </c>
      <c r="E24" s="7" t="s">
        <v>176</v>
      </c>
      <c r="F24" s="7" t="s">
        <v>76</v>
      </c>
      <c r="G24" s="5"/>
      <c r="H24" s="6" t="s">
        <v>77</v>
      </c>
      <c r="I24" s="2" t="s">
        <v>103</v>
      </c>
      <c r="J24" s="6" t="s">
        <v>102</v>
      </c>
      <c r="K24" s="9" t="s">
        <v>137</v>
      </c>
    </row>
    <row r="25" spans="1:11" ht="30" x14ac:dyDescent="0.25">
      <c r="C25" s="6" t="s">
        <v>80</v>
      </c>
      <c r="D25" s="7" t="s">
        <v>177</v>
      </c>
      <c r="E25" s="7" t="s">
        <v>79</v>
      </c>
      <c r="F25" s="7" t="s">
        <v>79</v>
      </c>
      <c r="G25" s="5"/>
      <c r="H25" s="6" t="s">
        <v>130</v>
      </c>
      <c r="I25" s="2" t="s">
        <v>131</v>
      </c>
      <c r="J25" s="6" t="s">
        <v>80</v>
      </c>
      <c r="K25" s="10" t="s">
        <v>138</v>
      </c>
    </row>
    <row r="26" spans="1:11" ht="60" x14ac:dyDescent="0.25">
      <c r="C26" s="6" t="s">
        <v>81</v>
      </c>
      <c r="D26" s="7" t="s">
        <v>178</v>
      </c>
      <c r="E26" s="7" t="s">
        <v>178</v>
      </c>
      <c r="F26" s="7" t="s">
        <v>82</v>
      </c>
      <c r="G26" s="5"/>
      <c r="H26" s="6" t="s">
        <v>83</v>
      </c>
      <c r="I26" s="2" t="s">
        <v>107</v>
      </c>
      <c r="J26" s="2" t="s">
        <v>108</v>
      </c>
      <c r="K26" s="10" t="s">
        <v>140</v>
      </c>
    </row>
    <row r="27" spans="1:11" x14ac:dyDescent="0.25">
      <c r="C27" s="6"/>
      <c r="D27" s="7"/>
      <c r="E27" s="7"/>
      <c r="F27" s="7"/>
      <c r="G27" s="5"/>
      <c r="H27" s="6"/>
    </row>
    <row r="28" spans="1:11" x14ac:dyDescent="0.25">
      <c r="B28" s="2" t="s">
        <v>84</v>
      </c>
      <c r="C28" s="6"/>
      <c r="D28" s="7"/>
      <c r="E28" s="7"/>
      <c r="F28" s="7"/>
      <c r="G28" s="5"/>
      <c r="H28" s="6"/>
    </row>
    <row r="29" spans="1:11" ht="106.5" customHeight="1" x14ac:dyDescent="0.25">
      <c r="C29" s="6" t="s">
        <v>85</v>
      </c>
      <c r="D29" s="7" t="s">
        <v>179</v>
      </c>
      <c r="E29" s="7" t="s">
        <v>179</v>
      </c>
      <c r="F29" s="7" t="s">
        <v>88</v>
      </c>
      <c r="G29" s="5"/>
      <c r="H29" s="6" t="s">
        <v>93</v>
      </c>
      <c r="I29" s="2" t="s">
        <v>114</v>
      </c>
      <c r="J29" s="6" t="s">
        <v>113</v>
      </c>
      <c r="K29" s="11" t="s">
        <v>141</v>
      </c>
    </row>
    <row r="30" spans="1:11" ht="73.5" customHeight="1" x14ac:dyDescent="0.25">
      <c r="C30" s="6" t="s">
        <v>86</v>
      </c>
      <c r="D30" s="7" t="s">
        <v>180</v>
      </c>
      <c r="E30" s="7" t="s">
        <v>181</v>
      </c>
      <c r="F30" s="7" t="s">
        <v>89</v>
      </c>
      <c r="G30" s="5"/>
      <c r="H30" s="6" t="s">
        <v>91</v>
      </c>
      <c r="I30" s="2" t="s">
        <v>109</v>
      </c>
      <c r="J30" s="6" t="s">
        <v>111</v>
      </c>
      <c r="K30" s="9" t="s">
        <v>137</v>
      </c>
    </row>
    <row r="31" spans="1:11" ht="75" x14ac:dyDescent="0.25">
      <c r="C31" s="2" t="s">
        <v>87</v>
      </c>
      <c r="D31" s="9" t="s">
        <v>178</v>
      </c>
      <c r="E31" s="9" t="s">
        <v>178</v>
      </c>
      <c r="F31" s="9" t="s">
        <v>90</v>
      </c>
      <c r="H31" s="6" t="s">
        <v>92</v>
      </c>
      <c r="I31" s="2" t="s">
        <v>110</v>
      </c>
      <c r="J31" s="2" t="s">
        <v>112</v>
      </c>
      <c r="K31" s="9" t="s">
        <v>137</v>
      </c>
    </row>
    <row r="32" spans="1:11" ht="45" x14ac:dyDescent="0.25">
      <c r="C32" s="2" t="s">
        <v>165</v>
      </c>
      <c r="D32" s="9" t="s">
        <v>178</v>
      </c>
      <c r="E32" s="9" t="s">
        <v>182</v>
      </c>
      <c r="F32" s="9" t="s">
        <v>168</v>
      </c>
      <c r="H32" s="6" t="s">
        <v>166</v>
      </c>
      <c r="I32" s="2" t="s">
        <v>167</v>
      </c>
      <c r="J32" s="2" t="s">
        <v>165</v>
      </c>
      <c r="K32" s="10" t="s">
        <v>138</v>
      </c>
    </row>
    <row r="33" spans="1:11" x14ac:dyDescent="0.25">
      <c r="H33" s="6"/>
    </row>
    <row r="34" spans="1:11" ht="30" x14ac:dyDescent="0.25">
      <c r="A34" s="6" t="s">
        <v>123</v>
      </c>
      <c r="B34" s="6"/>
      <c r="C34" s="6"/>
      <c r="D34" s="7"/>
      <c r="E34" s="7"/>
      <c r="F34" s="7"/>
      <c r="G34" s="5"/>
      <c r="H34" s="6"/>
    </row>
    <row r="35" spans="1:11" ht="48" customHeight="1" x14ac:dyDescent="0.25">
      <c r="A35" s="6"/>
      <c r="B35" s="6"/>
      <c r="C35" s="6" t="s">
        <v>161</v>
      </c>
      <c r="D35" s="7" t="s">
        <v>183</v>
      </c>
      <c r="E35" s="7" t="s">
        <v>184</v>
      </c>
      <c r="F35" s="7" t="s">
        <v>62</v>
      </c>
      <c r="G35" s="5"/>
      <c r="H35" s="6" t="s">
        <v>63</v>
      </c>
      <c r="I35" s="6" t="s">
        <v>64</v>
      </c>
      <c r="J35" s="6" t="s">
        <v>162</v>
      </c>
      <c r="K35" s="10" t="s">
        <v>138</v>
      </c>
    </row>
    <row r="36" spans="1:11" ht="48" customHeight="1" x14ac:dyDescent="0.25">
      <c r="A36" s="6"/>
      <c r="B36" s="6"/>
      <c r="C36" s="6" t="s">
        <v>65</v>
      </c>
      <c r="D36" s="7" t="s">
        <v>183</v>
      </c>
      <c r="E36" s="7" t="s">
        <v>184</v>
      </c>
      <c r="F36" s="7" t="s">
        <v>62</v>
      </c>
      <c r="G36" s="5"/>
      <c r="H36" s="6" t="s">
        <v>63</v>
      </c>
      <c r="I36" s="6" t="s">
        <v>66</v>
      </c>
      <c r="J36" s="6" t="s">
        <v>156</v>
      </c>
      <c r="K36" s="10" t="s">
        <v>138</v>
      </c>
    </row>
    <row r="37" spans="1:11" ht="65.25" customHeight="1" x14ac:dyDescent="0.25">
      <c r="A37" s="6"/>
      <c r="B37" s="6"/>
      <c r="C37" s="6" t="s">
        <v>61</v>
      </c>
      <c r="D37" s="7"/>
      <c r="E37" s="7"/>
      <c r="F37" s="7"/>
      <c r="G37" s="5"/>
      <c r="H37" s="6"/>
      <c r="I37" s="6" t="s">
        <v>164</v>
      </c>
      <c r="J37" s="6" t="s">
        <v>155</v>
      </c>
      <c r="K37" s="10" t="s">
        <v>163</v>
      </c>
    </row>
    <row r="38" spans="1:11" ht="47.25" customHeight="1" x14ac:dyDescent="0.25">
      <c r="A38" s="4"/>
      <c r="B38" s="4"/>
      <c r="C38" s="4" t="s">
        <v>94</v>
      </c>
      <c r="D38" s="8" t="s">
        <v>178</v>
      </c>
      <c r="E38" s="8" t="s">
        <v>178</v>
      </c>
      <c r="F38" s="8" t="s">
        <v>185</v>
      </c>
      <c r="G38" s="3"/>
      <c r="H38" s="4" t="s">
        <v>95</v>
      </c>
      <c r="I38" s="4" t="s">
        <v>142</v>
      </c>
      <c r="J38" s="4" t="s">
        <v>124</v>
      </c>
      <c r="K38" s="8" t="str">
        <f>+"(0-516)"</f>
        <v>(0-516)</v>
      </c>
    </row>
    <row r="40" spans="1:11" x14ac:dyDescent="0.25">
      <c r="A40" s="2" t="s">
        <v>13</v>
      </c>
    </row>
    <row r="41" spans="1:11" ht="45" x14ac:dyDescent="0.25">
      <c r="C41" s="2" t="s">
        <v>14</v>
      </c>
      <c r="D41" s="9" t="s">
        <v>33</v>
      </c>
      <c r="E41" s="9" t="s">
        <v>33</v>
      </c>
      <c r="F41" s="9" t="s">
        <v>19</v>
      </c>
      <c r="H41" s="2" t="s">
        <v>32</v>
      </c>
      <c r="I41" s="2" t="s">
        <v>144</v>
      </c>
      <c r="J41" s="2" t="s">
        <v>159</v>
      </c>
      <c r="K41" s="10" t="s">
        <v>138</v>
      </c>
    </row>
    <row r="42" spans="1:11" ht="47.25" customHeight="1" x14ac:dyDescent="0.25">
      <c r="C42" s="2" t="s">
        <v>15</v>
      </c>
      <c r="D42" s="9" t="s">
        <v>37</v>
      </c>
      <c r="E42" s="9" t="s">
        <v>36</v>
      </c>
      <c r="F42" s="9" t="s">
        <v>34</v>
      </c>
      <c r="H42" s="2" t="s">
        <v>35</v>
      </c>
      <c r="I42" s="2" t="s">
        <v>145</v>
      </c>
      <c r="J42" s="2" t="s">
        <v>115</v>
      </c>
      <c r="K42" s="9" t="s">
        <v>146</v>
      </c>
    </row>
    <row r="43" spans="1:11" ht="45" x14ac:dyDescent="0.25">
      <c r="C43" s="2" t="s">
        <v>38</v>
      </c>
      <c r="D43" s="9" t="s">
        <v>40</v>
      </c>
      <c r="E43" s="9" t="s">
        <v>20</v>
      </c>
      <c r="F43" s="9" t="s">
        <v>20</v>
      </c>
      <c r="H43" s="2" t="s">
        <v>39</v>
      </c>
      <c r="I43" s="2" t="s">
        <v>147</v>
      </c>
      <c r="J43" s="2" t="s">
        <v>116</v>
      </c>
      <c r="K43" s="9" t="s">
        <v>137</v>
      </c>
    </row>
    <row r="44" spans="1:11" ht="38.25" customHeight="1" x14ac:dyDescent="0.25">
      <c r="C44" s="6" t="s">
        <v>45</v>
      </c>
      <c r="D44" s="7" t="s">
        <v>48</v>
      </c>
      <c r="E44" s="7" t="s">
        <v>46</v>
      </c>
      <c r="F44" s="7" t="s">
        <v>46</v>
      </c>
      <c r="G44" s="5"/>
      <c r="H44" s="6" t="s">
        <v>47</v>
      </c>
      <c r="I44" s="2" t="s">
        <v>127</v>
      </c>
      <c r="J44" s="2" t="s">
        <v>45</v>
      </c>
      <c r="K44" s="10" t="s">
        <v>138</v>
      </c>
    </row>
    <row r="45" spans="1:11" ht="36.75" customHeight="1" x14ac:dyDescent="0.25">
      <c r="C45" s="6" t="s">
        <v>125</v>
      </c>
      <c r="D45" s="7" t="s">
        <v>48</v>
      </c>
      <c r="E45" s="7" t="s">
        <v>46</v>
      </c>
      <c r="F45" s="7" t="s">
        <v>46</v>
      </c>
      <c r="G45" s="5"/>
      <c r="H45" s="6" t="s">
        <v>151</v>
      </c>
      <c r="I45" s="2" t="s">
        <v>126</v>
      </c>
      <c r="J45" s="2" t="s">
        <v>125</v>
      </c>
      <c r="K45" s="10" t="s">
        <v>138</v>
      </c>
    </row>
    <row r="46" spans="1:11" ht="36.75" customHeight="1" x14ac:dyDescent="0.25">
      <c r="C46" s="2" t="s">
        <v>53</v>
      </c>
      <c r="D46" s="9" t="s">
        <v>21</v>
      </c>
      <c r="E46" s="9" t="s">
        <v>21</v>
      </c>
      <c r="F46" s="9" t="s">
        <v>21</v>
      </c>
      <c r="I46" s="2" t="s">
        <v>148</v>
      </c>
      <c r="J46" s="2" t="s">
        <v>118</v>
      </c>
      <c r="K46" s="9" t="str">
        <f>"(16-98)"</f>
        <v>(16-98)</v>
      </c>
    </row>
    <row r="47" spans="1:11" ht="37.5" customHeight="1" x14ac:dyDescent="0.25">
      <c r="C47" s="2" t="s">
        <v>16</v>
      </c>
      <c r="I47" s="2" t="s">
        <v>149</v>
      </c>
      <c r="J47" s="2" t="s">
        <v>117</v>
      </c>
      <c r="K47" s="9" t="str">
        <f>"(256-9604)"</f>
        <v>(256-9604)</v>
      </c>
    </row>
    <row r="48" spans="1:11" ht="22.5" customHeight="1" x14ac:dyDescent="0.25">
      <c r="C48" s="2" t="s">
        <v>17</v>
      </c>
      <c r="D48" s="9" t="s">
        <v>42</v>
      </c>
      <c r="E48" s="9" t="s">
        <v>22</v>
      </c>
      <c r="F48" s="9" t="s">
        <v>22</v>
      </c>
      <c r="H48" s="2" t="s">
        <v>41</v>
      </c>
      <c r="I48" s="2" t="s">
        <v>150</v>
      </c>
      <c r="J48" s="2" t="s">
        <v>119</v>
      </c>
      <c r="K48" s="9" t="str">
        <f>"(0-16)"</f>
        <v>(0-16)</v>
      </c>
    </row>
    <row r="49" spans="1:11" ht="39" customHeight="1" x14ac:dyDescent="0.25">
      <c r="A49" s="4"/>
      <c r="B49" s="4"/>
      <c r="C49" s="4" t="s">
        <v>18</v>
      </c>
      <c r="D49" s="8" t="s">
        <v>23</v>
      </c>
      <c r="E49" s="8" t="s">
        <v>23</v>
      </c>
      <c r="F49" s="8" t="s">
        <v>23</v>
      </c>
      <c r="G49" s="3"/>
      <c r="H49" s="4"/>
      <c r="I49" s="4" t="s">
        <v>143</v>
      </c>
      <c r="J49" s="4" t="s">
        <v>160</v>
      </c>
      <c r="K49" s="12" t="s">
        <v>138</v>
      </c>
    </row>
  </sheetData>
  <mergeCells count="1">
    <mergeCell ref="A1:C1"/>
  </mergeCells>
  <pageMargins left="0.7" right="0.7" top="0.75" bottom="0.75" header="0.3" footer="0.3"/>
  <pageSetup paperSize="9" scale="6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Template</dc:creator>
  <cp:lastModifiedBy>Template</cp:lastModifiedBy>
  <cp:lastPrinted>2026-03-30T18:21:59Z</cp:lastPrinted>
  <dcterms:created xsi:type="dcterms:W3CDTF">2025-12-05T16:54:45Z</dcterms:created>
  <dcterms:modified xsi:type="dcterms:W3CDTF">2026-04-01T19:40:38Z</dcterms:modified>
</cp:coreProperties>
</file>